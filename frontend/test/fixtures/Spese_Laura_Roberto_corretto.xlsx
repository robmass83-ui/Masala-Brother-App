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masala1\Downloads\"/>
    </mc:Choice>
  </mc:AlternateContent>
  <xr:revisionPtr revIDLastSave="0" documentId="13_ncr:1_{066208B3-1D72-4B0D-820D-5B9B1D428D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 (2)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1" l="1"/>
  <c r="E100" i="1"/>
  <c r="F99" i="1"/>
  <c r="E99" i="1" s="1"/>
  <c r="F98" i="1"/>
  <c r="E98" i="1" s="1"/>
  <c r="F97" i="1"/>
  <c r="E97" i="1"/>
  <c r="F96" i="1"/>
  <c r="E96" i="1" s="1"/>
  <c r="F95" i="1"/>
  <c r="E95" i="1"/>
  <c r="F94" i="1"/>
  <c r="E94" i="1" s="1"/>
  <c r="F93" i="1"/>
  <c r="E93" i="1"/>
  <c r="F92" i="1"/>
  <c r="E92" i="1" s="1"/>
  <c r="F91" i="1"/>
  <c r="E91" i="1" s="1"/>
  <c r="F90" i="1"/>
  <c r="E90" i="1"/>
  <c r="F89" i="1"/>
  <c r="E89" i="1" s="1"/>
  <c r="F88" i="1"/>
  <c r="E88" i="1"/>
  <c r="F87" i="1"/>
  <c r="E87" i="1" s="1"/>
  <c r="F86" i="1"/>
  <c r="E86" i="1"/>
  <c r="F85" i="1"/>
  <c r="E85" i="1" s="1"/>
  <c r="F84" i="1"/>
  <c r="E84" i="1" s="1"/>
  <c r="F83" i="1"/>
  <c r="E83" i="1"/>
  <c r="F82" i="1"/>
  <c r="E82" i="1" s="1"/>
  <c r="F81" i="1"/>
  <c r="E81" i="1"/>
  <c r="F80" i="1"/>
  <c r="E80" i="1" s="1"/>
  <c r="F79" i="1"/>
  <c r="E79" i="1"/>
  <c r="F78" i="1"/>
  <c r="E78" i="1" s="1"/>
  <c r="F77" i="1"/>
  <c r="E77" i="1" s="1"/>
  <c r="F76" i="1"/>
  <c r="E76" i="1"/>
  <c r="F75" i="1"/>
  <c r="E75" i="1" s="1"/>
  <c r="F74" i="1"/>
  <c r="E74" i="1"/>
  <c r="F73" i="1"/>
  <c r="E73" i="1" s="1"/>
  <c r="F72" i="1"/>
  <c r="E72" i="1"/>
  <c r="F71" i="1"/>
  <c r="E71" i="1" s="1"/>
  <c r="F70" i="1"/>
  <c r="E70" i="1" s="1"/>
  <c r="F69" i="1"/>
  <c r="E69" i="1"/>
  <c r="F68" i="1"/>
  <c r="E68" i="1" s="1"/>
  <c r="F67" i="1"/>
  <c r="E67" i="1"/>
  <c r="F66" i="1"/>
  <c r="E66" i="1" s="1"/>
  <c r="F65" i="1"/>
  <c r="E65" i="1"/>
  <c r="F64" i="1"/>
  <c r="E64" i="1" s="1"/>
  <c r="F63" i="1"/>
  <c r="E63" i="1" s="1"/>
  <c r="F62" i="1"/>
  <c r="E62" i="1"/>
  <c r="F61" i="1"/>
  <c r="E61" i="1" s="1"/>
  <c r="F60" i="1"/>
  <c r="E60" i="1"/>
  <c r="F59" i="1"/>
  <c r="E59" i="1" s="1"/>
  <c r="F58" i="1"/>
  <c r="E58" i="1"/>
  <c r="F57" i="1"/>
  <c r="E57" i="1" s="1"/>
  <c r="F56" i="1"/>
  <c r="E56" i="1" s="1"/>
  <c r="F55" i="1"/>
  <c r="E55" i="1"/>
  <c r="F54" i="1"/>
  <c r="E54" i="1" s="1"/>
  <c r="F53" i="1"/>
  <c r="E53" i="1"/>
  <c r="F52" i="1"/>
  <c r="E52" i="1" s="1"/>
  <c r="F51" i="1"/>
  <c r="E51" i="1"/>
  <c r="F50" i="1"/>
  <c r="E50" i="1" s="1"/>
  <c r="F49" i="1"/>
  <c r="E49" i="1" s="1"/>
  <c r="F48" i="1"/>
  <c r="E48" i="1"/>
  <c r="F47" i="1"/>
  <c r="E47" i="1" s="1"/>
  <c r="F46" i="1"/>
  <c r="E46" i="1"/>
  <c r="F45" i="1"/>
  <c r="E45" i="1" s="1"/>
  <c r="F44" i="1"/>
  <c r="E44" i="1"/>
  <c r="F43" i="1"/>
  <c r="E43" i="1" s="1"/>
  <c r="F42" i="1"/>
  <c r="E42" i="1" s="1"/>
  <c r="F41" i="1"/>
  <c r="E41" i="1"/>
  <c r="F40" i="1"/>
  <c r="E40" i="1" s="1"/>
  <c r="F39" i="1"/>
  <c r="E39" i="1"/>
  <c r="F38" i="1"/>
  <c r="E38" i="1" s="1"/>
  <c r="F37" i="1"/>
  <c r="E37" i="1"/>
  <c r="F36" i="1"/>
  <c r="E36" i="1" s="1"/>
  <c r="F35" i="1"/>
  <c r="E35" i="1" s="1"/>
  <c r="F34" i="1"/>
  <c r="E34" i="1"/>
  <c r="F33" i="1"/>
  <c r="E33" i="1" s="1"/>
  <c r="F32" i="1"/>
  <c r="E32" i="1"/>
  <c r="F31" i="1"/>
  <c r="E31" i="1" s="1"/>
  <c r="F30" i="1"/>
  <c r="E30" i="1"/>
  <c r="F29" i="1"/>
  <c r="E29" i="1" s="1"/>
  <c r="F28" i="1"/>
  <c r="E28" i="1" s="1"/>
  <c r="F27" i="1"/>
  <c r="E27" i="1"/>
  <c r="F26" i="1"/>
  <c r="E26" i="1" s="1"/>
  <c r="F25" i="1"/>
  <c r="E25" i="1"/>
  <c r="F24" i="1"/>
  <c r="E24" i="1" s="1"/>
  <c r="F23" i="1"/>
  <c r="E23" i="1"/>
  <c r="F22" i="1"/>
  <c r="E22" i="1" s="1"/>
  <c r="F21" i="1"/>
  <c r="E21" i="1" s="1"/>
  <c r="F20" i="1"/>
  <c r="E20" i="1"/>
  <c r="F19" i="1"/>
  <c r="E19" i="1" s="1"/>
  <c r="F18" i="1"/>
  <c r="E18" i="1"/>
  <c r="F17" i="1"/>
  <c r="E17" i="1" s="1"/>
  <c r="F16" i="1"/>
  <c r="E16" i="1"/>
  <c r="F15" i="1"/>
  <c r="E15" i="1" s="1"/>
  <c r="F14" i="1"/>
  <c r="E14" i="1" s="1"/>
  <c r="F13" i="1"/>
  <c r="E13" i="1"/>
  <c r="F12" i="1"/>
  <c r="E12" i="1" s="1"/>
  <c r="F11" i="1"/>
  <c r="E11" i="1"/>
  <c r="F10" i="1"/>
  <c r="E10" i="1" s="1"/>
  <c r="F9" i="1"/>
  <c r="E9" i="1"/>
  <c r="F8" i="1"/>
  <c r="E8" i="1" s="1"/>
  <c r="F7" i="1"/>
  <c r="E7" i="1" s="1"/>
  <c r="F6" i="1"/>
  <c r="E6" i="1"/>
  <c r="F5" i="1"/>
  <c r="F101" i="1" s="1"/>
  <c r="C3" i="1"/>
  <c r="D3" i="1" s="1"/>
  <c r="C2" i="1"/>
  <c r="A2" i="1"/>
  <c r="E2" i="1" l="1"/>
  <c r="E3" i="1"/>
  <c r="E5" i="1"/>
  <c r="D2" i="1"/>
  <c r="A3" i="1"/>
</calcChain>
</file>

<file path=xl/sharedStrings.xml><?xml version="1.0" encoding="utf-8"?>
<sst xmlns="http://schemas.openxmlformats.org/spreadsheetml/2006/main" count="81" uniqueCount="81">
  <si>
    <t>Spese Totali</t>
  </si>
  <si>
    <t>TOT Pagato</t>
  </si>
  <si>
    <t>Da restituire (metà della differenza)</t>
  </si>
  <si>
    <t>Metà da pagare</t>
  </si>
  <si>
    <t>Roberto</t>
  </si>
  <si>
    <t>Totale corrisposto</t>
  </si>
  <si>
    <t>DETTAGLIO SPESA</t>
  </si>
  <si>
    <t>DA PAGARE</t>
  </si>
  <si>
    <t>ROBERTO</t>
  </si>
  <si>
    <t>LAURA</t>
  </si>
  <si>
    <t>STATO</t>
  </si>
  <si>
    <t>CORRISPOSTO</t>
  </si>
  <si>
    <t>Agenzia Funebre foto mamma</t>
  </si>
  <si>
    <t>Agenzia Funebre funerale mamma</t>
  </si>
  <si>
    <t>Imu mamma</t>
  </si>
  <si>
    <t>Bolletta tim casa 26 dic 2023</t>
  </si>
  <si>
    <t>Bolletta tim casa 4 dic 2023</t>
  </si>
  <si>
    <t>Bolletta luce casa genn 2024</t>
  </si>
  <si>
    <t>Condominio via Addis Dic 2023</t>
  </si>
  <si>
    <t>Gas via Addis</t>
  </si>
  <si>
    <t>Condominio via Addis Gen/Febb 2024 +acqua</t>
  </si>
  <si>
    <t>Bolletta tim casa Febbr 2024</t>
  </si>
  <si>
    <t>Bolletta luce via Addis marzo 2024</t>
  </si>
  <si>
    <t>Primo acconto via Prunizzedda 14 febb 2024</t>
  </si>
  <si>
    <t>Saldo parti comuni e quota Delta via Prunizzedda 18 marzo 2024</t>
  </si>
  <si>
    <t>Prima quota extrabonus via Prunizzedda (di 9.405,45) 22 marzo2024</t>
  </si>
  <si>
    <t>Fattura Ticca n 5/21 via Prunizzedda 26 aprile 2024</t>
  </si>
  <si>
    <t>Fattura Ticca n 5/49 via Prunizzedda 25 aprile 2024</t>
  </si>
  <si>
    <t>Seconda quota extrabonus via Prunizzedda  (di 9405,45) 17 maggio</t>
  </si>
  <si>
    <t>Bolletta luce via Addis maggio 2024</t>
  </si>
  <si>
    <t>Successione</t>
  </si>
  <si>
    <t>saldo quota extrabonus via prunuzzedda 5 giugno</t>
  </si>
  <si>
    <t>Tari Sassari</t>
  </si>
  <si>
    <t>geometra Sotgiu per successione (contanti)</t>
  </si>
  <si>
    <t>geometra Sotgiu per successione ( fattura)</t>
  </si>
  <si>
    <t>Bolletta luce via Addis mag/giugno 24</t>
  </si>
  <si>
    <t xml:space="preserve">condominio via addis (marzo,aprile,maggio,giugno,luglio) </t>
  </si>
  <si>
    <t>consumo idrico via addis periodo 11/10/23 - 13/02/24</t>
  </si>
  <si>
    <t xml:space="preserve">Bollo auto mamma DG185WT </t>
  </si>
  <si>
    <t>Bonifico Roberto per laura</t>
  </si>
  <si>
    <t>acconto infissi via forlanini</t>
  </si>
  <si>
    <t>fattura Ing.Tombesi via Forlanini 9</t>
  </si>
  <si>
    <t>condominio via Addis (agosto,settembre,ottobre)</t>
  </si>
  <si>
    <t>Bolletta Gaxa via Addis</t>
  </si>
  <si>
    <t>bolletta enel ago/sett via Addis</t>
  </si>
  <si>
    <t>rate condominio da gen 2024 a dic 2024 via Forlanini 9</t>
  </si>
  <si>
    <t>denuncia dei redditi mamma 2023</t>
  </si>
  <si>
    <t>infiltrazione Saba-nerone via forlanini</t>
  </si>
  <si>
    <t>quote condominio nov/dic 2024  e cons idrico 13/2/24 22/6/24via Addis</t>
  </si>
  <si>
    <t>intervento fognario via addis</t>
  </si>
  <si>
    <t>bolletta Gaxa sett/ott 24 via addis</t>
  </si>
  <si>
    <t>Saldo Ticca via Prunizzedda 88</t>
  </si>
  <si>
    <t>Enel via Addis</t>
  </si>
  <si>
    <t>Bonifico Roberto per Laura</t>
  </si>
  <si>
    <t>Saldo infissi via forlanini</t>
  </si>
  <si>
    <t>bolletta enel apr/magg via addis</t>
  </si>
  <si>
    <t>bolletta gaxa marzo/aprile via addis</t>
  </si>
  <si>
    <t>contributo ascensore scala B via prunizzedda 86/88</t>
  </si>
  <si>
    <t>condominio via Addis (magg/giugn/lugl) + consumo idrico</t>
  </si>
  <si>
    <t>Tari Sassari (lugl 2025)</t>
  </si>
  <si>
    <t>luce sassari giugno luglio</t>
  </si>
  <si>
    <t>Quota Marcello Solinas settembre 2025 per pratica divisione masala</t>
  </si>
  <si>
    <t>Notaion Maniga divisione terreni</t>
  </si>
  <si>
    <t>30/03/2026 Rata n.1 f.cassa -forlanini</t>
  </si>
  <si>
    <t>30/04/2026 Rata n.2 f.cassa -forlanini</t>
  </si>
  <si>
    <t>30/05/2026 Rata n.3 f.cassa -forlanini</t>
  </si>
  <si>
    <t>30/06/2026 Rata n.4 f.cassa -forlanini</t>
  </si>
  <si>
    <t>30/07/2026 Rata n.5 f.cassa -forlanini</t>
  </si>
  <si>
    <t>30/08/2026 Rata n.6 f.cassa -forlanini</t>
  </si>
  <si>
    <t>bonifico fatto da Laura per rata notaio (roberto)</t>
  </si>
  <si>
    <t>ascensore via forlanini</t>
  </si>
  <si>
    <t>condominio via forlanini da genn2026 a maggio 2026</t>
  </si>
  <si>
    <t>bolletta tim zia aprile 2026</t>
  </si>
  <si>
    <t>bolletta gas via addis marzo 2026</t>
  </si>
  <si>
    <t>luce sassari  ott nov 2025, dic gen 26,feb marz 26</t>
  </si>
  <si>
    <t>saldo secondo e/c del 12.06.2026 via addis</t>
  </si>
  <si>
    <t>rata 1 ascensore via prunizzedda 15/06/2026</t>
  </si>
  <si>
    <t>aggiunti soldi mancanti condominio zia ina 15/06/2026</t>
  </si>
  <si>
    <t>luce sassari aprile/maggio 2026</t>
  </si>
  <si>
    <t>rata 2 ascensore via prunizzedda  17/07/206</t>
  </si>
  <si>
    <t>TOTALE PAGATO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</si>
</sst>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10]"/>
    <numFmt numFmtId="165" formatCode="#,##0\ [$€-410]"/>
  </numFmts>
  <fonts count="6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79989013336588644"/>
        <bgColor rgb="FFD9D9D9"/>
      </patternFill>
    </fill>
    <fill>
      <patternFill patternType="solid">
        <fgColor theme="9"/>
        <bgColor rgb="FF92D050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/>
    <xf numFmtId="165" fontId="3" fillId="0" borderId="5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9" xfId="0" applyNumberFormat="1" applyFont="1" applyFill="1" applyBorder="1"/>
    <xf numFmtId="164" fontId="0" fillId="2" borderId="9" xfId="0" applyNumberFormat="1" applyFill="1" applyBorder="1" applyAlignment="1">
      <alignment horizontal="right"/>
    </xf>
    <xf numFmtId="165" fontId="3" fillId="0" borderId="10" xfId="0" applyNumberFormat="1" applyFont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0" fillId="0" borderId="9" xfId="0" applyNumberFormat="1" applyBorder="1"/>
    <xf numFmtId="164" fontId="5" fillId="0" borderId="9" xfId="0" applyNumberFormat="1" applyFont="1" applyBorder="1"/>
    <xf numFmtId="164" fontId="2" fillId="2" borderId="3" xfId="0" applyNumberFormat="1" applyFont="1" applyFill="1" applyBorder="1" applyAlignment="1">
      <alignment horizontal="center" vertical="center"/>
    </xf>
    <xf numFmtId="164" fontId="0" fillId="2" borderId="7" xfId="0" applyNumberFormat="1" applyFill="1" applyBorder="1"/>
    <xf numFmtId="164" fontId="2" fillId="2" borderId="4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/>
    <xf numFmtId="164" fontId="0" fillId="2" borderId="8" xfId="0" applyNumberFormat="1" applyFill="1" applyBorder="1"/>
    <xf numFmtId="164" fontId="3" fillId="5" borderId="5" xfId="0" applyNumberFormat="1" applyFont="1" applyFill="1" applyBorder="1"/>
    <xf numFmtId="0" fontId="0" fillId="2" borderId="7" xfId="0" applyFill="1" applyBorder="1" applyAlignment="1">
      <alignment horizontal="center"/>
    </xf>
    <xf numFmtId="0" fontId="0" fillId="0" borderId="7" xfId="0" applyBorder="1"/>
    <xf numFmtId="164" fontId="1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</font>
      <fill>
        <patternFill>
          <bgColor rgb="FF92D05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7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60" zoomScaleNormal="160" workbookViewId="0">
      <pane ySplit="4" topLeftCell="A5" activePane="bottomLeft" state="frozen"/>
      <selection activeCell="C1" sqref="C1"/>
      <selection pane="bottomLeft" activeCell="D1" sqref="D1"/>
    </sheetView>
  </sheetViews>
  <sheetFormatPr defaultColWidth="8.7109375" defaultRowHeight="15" x14ac:dyDescent="0.25"/>
  <cols>
    <col min="1" max="1" width="60" customWidth="1"/>
    <col min="2" max="2" width="12.42578125" style="1" customWidth="1"/>
    <col min="3" max="3" width="11.42578125" style="1" customWidth="1"/>
    <col min="4" max="4" width="22.140625" style="1" customWidth="1"/>
    <col min="5" max="5" width="12.7109375" style="3" customWidth="1"/>
    <col min="6" max="6" width="16.85546875" style="1" customWidth="1"/>
  </cols>
  <sheetData>
    <row r="1" spans="1:6" ht="30" customHeight="1" x14ac:dyDescent="0.25">
      <c r="A1" s="10" t="s">
        <v>0</v>
      </c>
      <c r="B1" s="11"/>
      <c r="C1" s="14" t="s">
        <v>1</v>
      </c>
      <c r="D1" s="25" t="s">
        <v>2</v>
      </c>
      <c r="E1" s="4" t="s">
        <v>3</v>
      </c>
    </row>
    <row r="2" spans="1:6" ht="15" customHeight="1" x14ac:dyDescent="0.25">
      <c r="A2" s="2">
        <f>SUM(B5:B100)</f>
        <v>70285.56</v>
      </c>
      <c r="B2" s="12" t="s">
        <v>4</v>
      </c>
      <c r="C2" s="15">
        <f>SUM(C5:C100)</f>
        <v>47701.19</v>
      </c>
      <c r="D2" s="16" t="str">
        <f>IF(C2&lt;C3,(C3-C2)/2,"")</f>
        <v/>
      </c>
      <c r="E2" s="3">
        <f>(C2+C3)/2</f>
        <v>35144.535000000003</v>
      </c>
    </row>
    <row r="3" spans="1:6" ht="15" customHeight="1" x14ac:dyDescent="0.25">
      <c r="A3" s="2">
        <f>SUM(F5:F100)</f>
        <v>70289.070000000007</v>
      </c>
      <c r="B3" s="12" t="s">
        <v>5</v>
      </c>
      <c r="C3" s="15">
        <f>SUM(D5:D100)</f>
        <v>22587.88</v>
      </c>
      <c r="D3" s="16">
        <f>IF(C3&lt;C2,(C2-C3)/2,"")</f>
        <v>12556.655000000001</v>
      </c>
      <c r="E3" s="3">
        <f>(C2+C3)/2</f>
        <v>35144.535000000003</v>
      </c>
      <c r="F3" s="16"/>
    </row>
    <row r="4" spans="1:6" ht="16.5" customHeight="1" x14ac:dyDescent="0.25">
      <c r="A4" s="5" t="s">
        <v>6</v>
      </c>
      <c r="B4" s="6" t="s">
        <v>7</v>
      </c>
      <c r="C4" s="17" t="s">
        <v>8</v>
      </c>
      <c r="D4" s="17" t="s">
        <v>9</v>
      </c>
      <c r="E4" s="7" t="s">
        <v>10</v>
      </c>
      <c r="F4" s="19" t="s">
        <v>11</v>
      </c>
    </row>
    <row r="5" spans="1:6" ht="15" customHeight="1" x14ac:dyDescent="0.25">
      <c r="A5" t="s">
        <v>12</v>
      </c>
      <c r="B5" s="8">
        <v>695.4</v>
      </c>
      <c r="C5" s="8">
        <v>695.4</v>
      </c>
      <c r="D5" s="8">
        <v>0</v>
      </c>
      <c r="E5" s="13" t="str">
        <f>IF(AND(ISBLANK(B5), ISBLANK(F5)), "", IF(OR(ISBLANK(F5), F5=0), "da pagare", IF(F5&lt;B5, "parziale", "pagato")))</f>
        <v>pagato</v>
      </c>
      <c r="F5" s="20">
        <f t="shared" ref="F5:F36" si="0">C5+D5</f>
        <v>695.4</v>
      </c>
    </row>
    <row r="6" spans="1:6" ht="15" customHeight="1" x14ac:dyDescent="0.25">
      <c r="A6" t="s">
        <v>13</v>
      </c>
      <c r="B6" s="8">
        <v>2546.59</v>
      </c>
      <c r="C6" s="8">
        <v>2546.59</v>
      </c>
      <c r="D6" s="8">
        <v>0</v>
      </c>
      <c r="E6" s="9" t="str">
        <f t="shared" ref="E6:E37" si="1">IF(OR(ISBLANK(F6), F6=0), "", IF(F6&lt;B6, "parziale", "pagato"))</f>
        <v>pagato</v>
      </c>
      <c r="F6" s="20">
        <f t="shared" si="0"/>
        <v>2546.59</v>
      </c>
    </row>
    <row r="7" spans="1:6" ht="15" customHeight="1" x14ac:dyDescent="0.25">
      <c r="A7" t="s">
        <v>14</v>
      </c>
      <c r="B7" s="8">
        <v>425</v>
      </c>
      <c r="C7" s="8">
        <v>0</v>
      </c>
      <c r="D7" s="8">
        <v>425</v>
      </c>
      <c r="E7" s="9" t="str">
        <f t="shared" si="1"/>
        <v>pagato</v>
      </c>
      <c r="F7" s="20">
        <f t="shared" si="0"/>
        <v>425</v>
      </c>
    </row>
    <row r="8" spans="1:6" ht="15" customHeight="1" x14ac:dyDescent="0.25">
      <c r="A8" t="s">
        <v>15</v>
      </c>
      <c r="B8" s="8">
        <v>63.1</v>
      </c>
      <c r="C8" s="8">
        <v>0</v>
      </c>
      <c r="D8" s="8">
        <v>63.1</v>
      </c>
      <c r="E8" s="9" t="str">
        <f t="shared" si="1"/>
        <v>pagato</v>
      </c>
      <c r="F8" s="20">
        <f t="shared" si="0"/>
        <v>63.1</v>
      </c>
    </row>
    <row r="9" spans="1:6" ht="15" customHeight="1" x14ac:dyDescent="0.25">
      <c r="A9" t="s">
        <v>16</v>
      </c>
      <c r="B9" s="8">
        <v>59.38</v>
      </c>
      <c r="C9" s="8">
        <v>0</v>
      </c>
      <c r="D9" s="8">
        <v>59.38</v>
      </c>
      <c r="E9" s="9" t="str">
        <f t="shared" si="1"/>
        <v>pagato</v>
      </c>
      <c r="F9" s="20">
        <f t="shared" si="0"/>
        <v>59.38</v>
      </c>
    </row>
    <row r="10" spans="1:6" ht="15" customHeight="1" x14ac:dyDescent="0.25">
      <c r="A10" t="s">
        <v>17</v>
      </c>
      <c r="B10" s="8">
        <v>190.53</v>
      </c>
      <c r="C10" s="8">
        <v>0</v>
      </c>
      <c r="D10" s="8">
        <v>190.53</v>
      </c>
      <c r="E10" s="9" t="str">
        <f t="shared" si="1"/>
        <v>pagato</v>
      </c>
      <c r="F10" s="20">
        <f t="shared" si="0"/>
        <v>190.53</v>
      </c>
    </row>
    <row r="11" spans="1:6" ht="15" customHeight="1" x14ac:dyDescent="0.25">
      <c r="A11" t="s">
        <v>18</v>
      </c>
      <c r="B11" s="8">
        <v>120</v>
      </c>
      <c r="C11" s="8">
        <v>0</v>
      </c>
      <c r="D11" s="8">
        <v>120</v>
      </c>
      <c r="E11" s="9" t="str">
        <f t="shared" si="1"/>
        <v>pagato</v>
      </c>
      <c r="F11" s="20">
        <f t="shared" si="0"/>
        <v>120</v>
      </c>
    </row>
    <row r="12" spans="1:6" ht="15" customHeight="1" x14ac:dyDescent="0.25">
      <c r="A12" t="s">
        <v>19</v>
      </c>
      <c r="B12" s="8">
        <v>36</v>
      </c>
      <c r="C12" s="8">
        <v>0</v>
      </c>
      <c r="D12" s="8">
        <v>36</v>
      </c>
      <c r="E12" s="9" t="str">
        <f t="shared" si="1"/>
        <v>pagato</v>
      </c>
      <c r="F12" s="20">
        <f t="shared" si="0"/>
        <v>36</v>
      </c>
    </row>
    <row r="13" spans="1:6" ht="15" customHeight="1" x14ac:dyDescent="0.25">
      <c r="A13" t="s">
        <v>20</v>
      </c>
      <c r="B13" s="8">
        <v>264</v>
      </c>
      <c r="C13" s="8">
        <v>0</v>
      </c>
      <c r="D13" s="8">
        <v>264</v>
      </c>
      <c r="E13" s="9" t="str">
        <f t="shared" si="1"/>
        <v>pagato</v>
      </c>
      <c r="F13" s="20">
        <f t="shared" si="0"/>
        <v>264</v>
      </c>
    </row>
    <row r="14" spans="1:6" ht="15" customHeight="1" x14ac:dyDescent="0.25">
      <c r="A14" t="s">
        <v>21</v>
      </c>
      <c r="B14" s="8">
        <v>53.13</v>
      </c>
      <c r="C14" s="8">
        <v>0</v>
      </c>
      <c r="D14" s="8">
        <v>53.13</v>
      </c>
      <c r="E14" s="9" t="str">
        <f t="shared" si="1"/>
        <v>pagato</v>
      </c>
      <c r="F14" s="20">
        <f t="shared" si="0"/>
        <v>53.13</v>
      </c>
    </row>
    <row r="15" spans="1:6" ht="15" customHeight="1" x14ac:dyDescent="0.25">
      <c r="A15" t="s">
        <v>22</v>
      </c>
      <c r="B15" s="8">
        <v>135.36000000000001</v>
      </c>
      <c r="C15" s="8">
        <v>0</v>
      </c>
      <c r="D15" s="8">
        <v>135.36000000000001</v>
      </c>
      <c r="E15" s="9" t="str">
        <f t="shared" si="1"/>
        <v>pagato</v>
      </c>
      <c r="F15" s="20">
        <f t="shared" si="0"/>
        <v>135.36000000000001</v>
      </c>
    </row>
    <row r="16" spans="1:6" ht="15" customHeight="1" x14ac:dyDescent="0.25">
      <c r="A16" t="s">
        <v>23</v>
      </c>
      <c r="B16" s="8">
        <v>3794.4</v>
      </c>
      <c r="C16" s="8">
        <v>1897.2</v>
      </c>
      <c r="D16" s="8">
        <v>1897.2</v>
      </c>
      <c r="E16" s="9" t="str">
        <f t="shared" si="1"/>
        <v>pagato</v>
      </c>
      <c r="F16" s="20">
        <f t="shared" si="0"/>
        <v>3794.4</v>
      </c>
    </row>
    <row r="17" spans="1:6" ht="15" customHeight="1" x14ac:dyDescent="0.25">
      <c r="A17" t="s">
        <v>24</v>
      </c>
      <c r="B17" s="8">
        <v>4385.96</v>
      </c>
      <c r="C17" s="8">
        <v>3850</v>
      </c>
      <c r="D17" s="8">
        <v>535.96</v>
      </c>
      <c r="E17" s="9" t="str">
        <f t="shared" si="1"/>
        <v>pagato</v>
      </c>
      <c r="F17" s="20">
        <f t="shared" si="0"/>
        <v>4385.96</v>
      </c>
    </row>
    <row r="18" spans="1:6" ht="15" customHeight="1" x14ac:dyDescent="0.25">
      <c r="A18" t="s">
        <v>25</v>
      </c>
      <c r="B18" s="8">
        <v>2000</v>
      </c>
      <c r="C18" s="8">
        <v>1300</v>
      </c>
      <c r="D18" s="8">
        <v>700</v>
      </c>
      <c r="E18" s="9" t="str">
        <f t="shared" si="1"/>
        <v>pagato</v>
      </c>
      <c r="F18" s="20">
        <f t="shared" si="0"/>
        <v>2000</v>
      </c>
    </row>
    <row r="19" spans="1:6" ht="15" customHeight="1" x14ac:dyDescent="0.25">
      <c r="A19" t="s">
        <v>26</v>
      </c>
      <c r="B19" s="8">
        <v>1222.94</v>
      </c>
      <c r="C19" s="8">
        <v>0</v>
      </c>
      <c r="D19" s="8">
        <v>1222.94</v>
      </c>
      <c r="E19" s="9" t="str">
        <f t="shared" si="1"/>
        <v>pagato</v>
      </c>
      <c r="F19" s="20">
        <f t="shared" si="0"/>
        <v>1222.94</v>
      </c>
    </row>
    <row r="20" spans="1:6" ht="15" customHeight="1" x14ac:dyDescent="0.25">
      <c r="A20" t="s">
        <v>27</v>
      </c>
      <c r="B20" s="8">
        <v>460.47</v>
      </c>
      <c r="C20" s="8">
        <v>0</v>
      </c>
      <c r="D20" s="8">
        <v>460.47</v>
      </c>
      <c r="E20" s="9" t="str">
        <f t="shared" si="1"/>
        <v>pagato</v>
      </c>
      <c r="F20" s="20">
        <f t="shared" si="0"/>
        <v>460.47</v>
      </c>
    </row>
    <row r="21" spans="1:6" ht="15" customHeight="1" x14ac:dyDescent="0.25">
      <c r="A21" t="s">
        <v>28</v>
      </c>
      <c r="B21" s="8">
        <v>4005.45</v>
      </c>
      <c r="C21" s="8">
        <v>2000</v>
      </c>
      <c r="D21" s="8">
        <v>2005.45</v>
      </c>
      <c r="E21" s="9" t="str">
        <f t="shared" si="1"/>
        <v>pagato</v>
      </c>
      <c r="F21" s="20">
        <f t="shared" si="0"/>
        <v>4005.45</v>
      </c>
    </row>
    <row r="22" spans="1:6" ht="15" customHeight="1" x14ac:dyDescent="0.25">
      <c r="A22" t="s">
        <v>29</v>
      </c>
      <c r="B22" s="8">
        <v>129</v>
      </c>
      <c r="C22" s="8">
        <v>0</v>
      </c>
      <c r="D22" s="8">
        <v>129</v>
      </c>
      <c r="E22" s="9" t="str">
        <f t="shared" si="1"/>
        <v>pagato</v>
      </c>
      <c r="F22" s="20">
        <f t="shared" si="0"/>
        <v>129</v>
      </c>
    </row>
    <row r="23" spans="1:6" ht="15" customHeight="1" x14ac:dyDescent="0.25">
      <c r="A23" t="s">
        <v>30</v>
      </c>
      <c r="B23" s="8">
        <v>5134</v>
      </c>
      <c r="C23" s="8">
        <v>0</v>
      </c>
      <c r="D23" s="8">
        <v>5134</v>
      </c>
      <c r="E23" s="9" t="str">
        <f t="shared" si="1"/>
        <v>pagato</v>
      </c>
      <c r="F23" s="20">
        <f t="shared" si="0"/>
        <v>5134</v>
      </c>
    </row>
    <row r="24" spans="1:6" ht="15" customHeight="1" x14ac:dyDescent="0.25">
      <c r="A24" t="s">
        <v>31</v>
      </c>
      <c r="B24" s="8">
        <v>3432.49</v>
      </c>
      <c r="C24" s="8">
        <v>2290</v>
      </c>
      <c r="D24" s="8">
        <v>1146</v>
      </c>
      <c r="E24" s="9" t="str">
        <f t="shared" si="1"/>
        <v>pagato</v>
      </c>
      <c r="F24" s="20">
        <f t="shared" si="0"/>
        <v>3436</v>
      </c>
    </row>
    <row r="25" spans="1:6" ht="15" customHeight="1" x14ac:dyDescent="0.25">
      <c r="A25" t="s">
        <v>32</v>
      </c>
      <c r="B25" s="8">
        <v>320</v>
      </c>
      <c r="C25" s="8">
        <v>0</v>
      </c>
      <c r="D25" s="8">
        <v>320</v>
      </c>
      <c r="E25" s="9" t="str">
        <f t="shared" si="1"/>
        <v>pagato</v>
      </c>
      <c r="F25" s="20">
        <f t="shared" si="0"/>
        <v>320</v>
      </c>
    </row>
    <row r="26" spans="1:6" ht="15" customHeight="1" x14ac:dyDescent="0.25">
      <c r="A26" t="s">
        <v>33</v>
      </c>
      <c r="B26" s="8">
        <v>1500</v>
      </c>
      <c r="C26" s="8">
        <v>0</v>
      </c>
      <c r="D26" s="8">
        <v>1500</v>
      </c>
      <c r="E26" s="9" t="str">
        <f t="shared" si="1"/>
        <v>pagato</v>
      </c>
      <c r="F26" s="20">
        <f t="shared" si="0"/>
        <v>1500</v>
      </c>
    </row>
    <row r="27" spans="1:6" ht="15" customHeight="1" x14ac:dyDescent="0.25">
      <c r="A27" t="s">
        <v>34</v>
      </c>
      <c r="B27" s="8">
        <v>257</v>
      </c>
      <c r="C27" s="8">
        <v>0</v>
      </c>
      <c r="D27" s="8">
        <v>257</v>
      </c>
      <c r="E27" s="9" t="str">
        <f t="shared" si="1"/>
        <v>pagato</v>
      </c>
      <c r="F27" s="20">
        <f t="shared" si="0"/>
        <v>257</v>
      </c>
    </row>
    <row r="28" spans="1:6" ht="15" customHeight="1" x14ac:dyDescent="0.25">
      <c r="A28" t="s">
        <v>35</v>
      </c>
      <c r="B28" s="8">
        <v>60</v>
      </c>
      <c r="C28" s="8">
        <v>0</v>
      </c>
      <c r="D28" s="8">
        <v>60</v>
      </c>
      <c r="E28" s="9" t="str">
        <f t="shared" si="1"/>
        <v>pagato</v>
      </c>
      <c r="F28" s="20">
        <f t="shared" si="0"/>
        <v>60</v>
      </c>
    </row>
    <row r="29" spans="1:6" ht="15" customHeight="1" x14ac:dyDescent="0.25">
      <c r="A29" t="s">
        <v>36</v>
      </c>
      <c r="B29" s="8">
        <v>585</v>
      </c>
      <c r="C29" s="8">
        <v>0</v>
      </c>
      <c r="D29" s="8">
        <v>585</v>
      </c>
      <c r="E29" s="9" t="str">
        <f t="shared" si="1"/>
        <v>pagato</v>
      </c>
      <c r="F29" s="20">
        <f t="shared" si="0"/>
        <v>585</v>
      </c>
    </row>
    <row r="30" spans="1:6" ht="15" customHeight="1" x14ac:dyDescent="0.25">
      <c r="A30" t="s">
        <v>37</v>
      </c>
      <c r="B30" s="8">
        <v>53.3</v>
      </c>
      <c r="C30" s="8">
        <v>0</v>
      </c>
      <c r="D30" s="8">
        <v>53.3</v>
      </c>
      <c r="E30" s="9" t="str">
        <f t="shared" si="1"/>
        <v>pagato</v>
      </c>
      <c r="F30" s="20">
        <f t="shared" si="0"/>
        <v>53.3</v>
      </c>
    </row>
    <row r="31" spans="1:6" ht="15" customHeight="1" x14ac:dyDescent="0.25">
      <c r="A31" t="s">
        <v>38</v>
      </c>
      <c r="B31" s="8">
        <v>147.33000000000001</v>
      </c>
      <c r="C31" s="8">
        <v>0</v>
      </c>
      <c r="D31" s="8">
        <v>147.33000000000001</v>
      </c>
      <c r="E31" s="9" t="str">
        <f t="shared" si="1"/>
        <v>pagato</v>
      </c>
      <c r="F31" s="20">
        <f t="shared" si="0"/>
        <v>147.33000000000001</v>
      </c>
    </row>
    <row r="32" spans="1:6" ht="15" customHeight="1" x14ac:dyDescent="0.25">
      <c r="A32" t="s">
        <v>39</v>
      </c>
      <c r="B32" s="22">
        <v>0</v>
      </c>
      <c r="C32" s="8">
        <v>1470</v>
      </c>
      <c r="D32" s="8">
        <v>-1470</v>
      </c>
      <c r="E32" s="9" t="str">
        <f t="shared" si="1"/>
        <v/>
      </c>
      <c r="F32" s="20">
        <f t="shared" si="0"/>
        <v>0</v>
      </c>
    </row>
    <row r="33" spans="1:6" ht="15" customHeight="1" x14ac:dyDescent="0.25">
      <c r="A33" t="s">
        <v>40</v>
      </c>
      <c r="B33" s="8">
        <v>3000</v>
      </c>
      <c r="C33" s="8">
        <v>3000</v>
      </c>
      <c r="D33" s="8">
        <v>0</v>
      </c>
      <c r="E33" s="9" t="str">
        <f t="shared" si="1"/>
        <v>pagato</v>
      </c>
      <c r="F33" s="20">
        <f t="shared" si="0"/>
        <v>3000</v>
      </c>
    </row>
    <row r="34" spans="1:6" ht="15" customHeight="1" x14ac:dyDescent="0.25">
      <c r="A34" t="s">
        <v>41</v>
      </c>
      <c r="B34" s="8">
        <v>824</v>
      </c>
      <c r="C34" s="8">
        <v>0</v>
      </c>
      <c r="D34" s="8">
        <v>824</v>
      </c>
      <c r="E34" s="9" t="str">
        <f t="shared" si="1"/>
        <v>pagato</v>
      </c>
      <c r="F34" s="20">
        <f t="shared" si="0"/>
        <v>824</v>
      </c>
    </row>
    <row r="35" spans="1:6" ht="15" customHeight="1" x14ac:dyDescent="0.25">
      <c r="A35" t="s">
        <v>42</v>
      </c>
      <c r="B35" s="8">
        <v>352</v>
      </c>
      <c r="C35" s="8">
        <v>0</v>
      </c>
      <c r="D35" s="8">
        <v>352</v>
      </c>
      <c r="E35" s="9" t="str">
        <f t="shared" si="1"/>
        <v>pagato</v>
      </c>
      <c r="F35" s="20">
        <f t="shared" si="0"/>
        <v>352</v>
      </c>
    </row>
    <row r="36" spans="1:6" ht="15" customHeight="1" x14ac:dyDescent="0.25">
      <c r="A36" t="s">
        <v>43</v>
      </c>
      <c r="B36" s="8">
        <v>20</v>
      </c>
      <c r="C36" s="8">
        <v>0</v>
      </c>
      <c r="D36" s="8">
        <v>20</v>
      </c>
      <c r="E36" s="9" t="str">
        <f t="shared" si="1"/>
        <v>pagato</v>
      </c>
      <c r="F36" s="20">
        <f t="shared" si="0"/>
        <v>20</v>
      </c>
    </row>
    <row r="37" spans="1:6" ht="15" customHeight="1" x14ac:dyDescent="0.25">
      <c r="A37" t="s">
        <v>44</v>
      </c>
      <c r="B37" s="8">
        <v>117</v>
      </c>
      <c r="C37" s="8">
        <v>0</v>
      </c>
      <c r="D37" s="8">
        <v>117</v>
      </c>
      <c r="E37" s="9" t="str">
        <f t="shared" si="1"/>
        <v>pagato</v>
      </c>
      <c r="F37" s="20">
        <f t="shared" ref="F37:F68" si="2">C37+D37</f>
        <v>117</v>
      </c>
    </row>
    <row r="38" spans="1:6" ht="15" customHeight="1" x14ac:dyDescent="0.25">
      <c r="A38" t="s">
        <v>45</v>
      </c>
      <c r="B38" s="8">
        <v>156</v>
      </c>
      <c r="C38" s="8">
        <v>0</v>
      </c>
      <c r="D38" s="8">
        <v>156</v>
      </c>
      <c r="E38" s="9" t="str">
        <f t="shared" ref="E38:E69" si="3">IF(OR(ISBLANK(F38), F38=0), "", IF(F38&lt;B38, "parziale", "pagato"))</f>
        <v>pagato</v>
      </c>
      <c r="F38" s="20">
        <f t="shared" si="2"/>
        <v>156</v>
      </c>
    </row>
    <row r="39" spans="1:6" ht="15" customHeight="1" x14ac:dyDescent="0.25">
      <c r="A39" t="s">
        <v>46</v>
      </c>
      <c r="B39" s="8">
        <v>600</v>
      </c>
      <c r="C39" s="8">
        <v>0</v>
      </c>
      <c r="D39" s="8">
        <v>600</v>
      </c>
      <c r="E39" s="9" t="str">
        <f t="shared" si="3"/>
        <v>pagato</v>
      </c>
      <c r="F39" s="20">
        <f t="shared" si="2"/>
        <v>600</v>
      </c>
    </row>
    <row r="40" spans="1:6" ht="15" customHeight="1" x14ac:dyDescent="0.25">
      <c r="A40" t="s">
        <v>47</v>
      </c>
      <c r="B40" s="8">
        <v>45</v>
      </c>
      <c r="C40" s="8">
        <v>0</v>
      </c>
      <c r="D40" s="8">
        <v>45</v>
      </c>
      <c r="E40" s="9" t="str">
        <f t="shared" si="3"/>
        <v>pagato</v>
      </c>
      <c r="F40" s="20">
        <f t="shared" si="2"/>
        <v>45</v>
      </c>
    </row>
    <row r="41" spans="1:6" ht="15" customHeight="1" x14ac:dyDescent="0.25">
      <c r="A41" t="s">
        <v>48</v>
      </c>
      <c r="B41" s="8">
        <v>259</v>
      </c>
      <c r="C41" s="8">
        <v>0</v>
      </c>
      <c r="D41" s="8">
        <v>259</v>
      </c>
      <c r="E41" s="9" t="str">
        <f t="shared" si="3"/>
        <v>pagato</v>
      </c>
      <c r="F41" s="20">
        <f t="shared" si="2"/>
        <v>259</v>
      </c>
    </row>
    <row r="42" spans="1:6" ht="15" customHeight="1" x14ac:dyDescent="0.25">
      <c r="A42" t="s">
        <v>49</v>
      </c>
      <c r="B42" s="8">
        <v>323</v>
      </c>
      <c r="C42" s="8">
        <v>0</v>
      </c>
      <c r="D42" s="8">
        <v>323</v>
      </c>
      <c r="E42" s="9" t="str">
        <f t="shared" si="3"/>
        <v>pagato</v>
      </c>
      <c r="F42" s="20">
        <f t="shared" si="2"/>
        <v>323</v>
      </c>
    </row>
    <row r="43" spans="1:6" ht="15" customHeight="1" x14ac:dyDescent="0.25">
      <c r="A43" t="s">
        <v>50</v>
      </c>
      <c r="B43" s="8">
        <v>21</v>
      </c>
      <c r="C43" s="8">
        <v>0</v>
      </c>
      <c r="D43" s="8">
        <v>21</v>
      </c>
      <c r="E43" s="9" t="str">
        <f t="shared" si="3"/>
        <v>pagato</v>
      </c>
      <c r="F43" s="20">
        <f t="shared" si="2"/>
        <v>21</v>
      </c>
    </row>
    <row r="44" spans="1:6" ht="15" customHeight="1" x14ac:dyDescent="0.25">
      <c r="A44" t="s">
        <v>51</v>
      </c>
      <c r="B44" s="8">
        <v>1066.98</v>
      </c>
      <c r="C44" s="8">
        <v>0</v>
      </c>
      <c r="D44" s="8">
        <v>1066.98</v>
      </c>
      <c r="E44" s="9" t="str">
        <f t="shared" si="3"/>
        <v>pagato</v>
      </c>
      <c r="F44" s="20">
        <f t="shared" si="2"/>
        <v>1066.98</v>
      </c>
    </row>
    <row r="45" spans="1:6" ht="15" customHeight="1" x14ac:dyDescent="0.25">
      <c r="A45" t="s">
        <v>52</v>
      </c>
      <c r="B45" s="8">
        <v>90</v>
      </c>
      <c r="C45" s="8">
        <v>0</v>
      </c>
      <c r="D45" s="8">
        <v>90</v>
      </c>
      <c r="E45" s="9" t="str">
        <f t="shared" si="3"/>
        <v>pagato</v>
      </c>
      <c r="F45" s="20">
        <f t="shared" si="2"/>
        <v>90</v>
      </c>
    </row>
    <row r="46" spans="1:6" ht="15" customHeight="1" x14ac:dyDescent="0.25">
      <c r="A46" t="s">
        <v>53</v>
      </c>
      <c r="B46" s="8">
        <v>0</v>
      </c>
      <c r="C46" s="8">
        <v>2400</v>
      </c>
      <c r="D46" s="8">
        <v>-2400</v>
      </c>
      <c r="E46" s="9" t="str">
        <f t="shared" si="3"/>
        <v/>
      </c>
      <c r="F46" s="20">
        <f t="shared" si="2"/>
        <v>0</v>
      </c>
    </row>
    <row r="47" spans="1:6" ht="15" customHeight="1" x14ac:dyDescent="0.25">
      <c r="A47" t="s">
        <v>54</v>
      </c>
      <c r="B47" s="8">
        <v>4800</v>
      </c>
      <c r="C47" s="8">
        <v>4800</v>
      </c>
      <c r="D47" s="8">
        <v>0</v>
      </c>
      <c r="E47" s="9" t="str">
        <f t="shared" si="3"/>
        <v>pagato</v>
      </c>
      <c r="F47" s="20">
        <f t="shared" si="2"/>
        <v>4800</v>
      </c>
    </row>
    <row r="48" spans="1:6" ht="15" customHeight="1" x14ac:dyDescent="0.25">
      <c r="A48" t="s">
        <v>55</v>
      </c>
      <c r="B48" s="8">
        <v>104</v>
      </c>
      <c r="C48" s="8"/>
      <c r="D48" s="8">
        <v>104</v>
      </c>
      <c r="E48" s="9" t="str">
        <f t="shared" si="3"/>
        <v>pagato</v>
      </c>
      <c r="F48" s="20">
        <f t="shared" si="2"/>
        <v>104</v>
      </c>
    </row>
    <row r="49" spans="1:6" ht="15" customHeight="1" x14ac:dyDescent="0.25">
      <c r="A49" t="s">
        <v>56</v>
      </c>
      <c r="B49" s="8">
        <v>65</v>
      </c>
      <c r="C49" s="8"/>
      <c r="D49" s="8">
        <v>65</v>
      </c>
      <c r="E49" s="9" t="str">
        <f t="shared" si="3"/>
        <v>pagato</v>
      </c>
      <c r="F49" s="20">
        <f t="shared" si="2"/>
        <v>65</v>
      </c>
    </row>
    <row r="50" spans="1:6" ht="15" customHeight="1" x14ac:dyDescent="0.25">
      <c r="A50" t="s">
        <v>57</v>
      </c>
      <c r="B50" s="8">
        <v>330</v>
      </c>
      <c r="C50" s="8"/>
      <c r="D50" s="8">
        <v>330</v>
      </c>
      <c r="E50" s="9" t="str">
        <f t="shared" si="3"/>
        <v>pagato</v>
      </c>
      <c r="F50" s="20">
        <f t="shared" si="2"/>
        <v>330</v>
      </c>
    </row>
    <row r="51" spans="1:6" ht="15" customHeight="1" x14ac:dyDescent="0.25">
      <c r="A51" t="s">
        <v>58</v>
      </c>
      <c r="B51" s="8">
        <v>373</v>
      </c>
      <c r="C51" s="8"/>
      <c r="D51" s="8">
        <v>373</v>
      </c>
      <c r="E51" s="9" t="str">
        <f t="shared" si="3"/>
        <v>pagato</v>
      </c>
      <c r="F51" s="20">
        <f t="shared" si="2"/>
        <v>373</v>
      </c>
    </row>
    <row r="52" spans="1:6" ht="15" customHeight="1" x14ac:dyDescent="0.25">
      <c r="A52" t="s">
        <v>59</v>
      </c>
      <c r="B52" s="8">
        <v>324</v>
      </c>
      <c r="C52" s="8">
        <v>162</v>
      </c>
      <c r="D52" s="8">
        <v>162</v>
      </c>
      <c r="E52" s="9" t="str">
        <f t="shared" si="3"/>
        <v>pagato</v>
      </c>
      <c r="F52" s="20">
        <f t="shared" si="2"/>
        <v>324</v>
      </c>
    </row>
    <row r="53" spans="1:6" ht="15" customHeight="1" x14ac:dyDescent="0.25">
      <c r="A53" t="s">
        <v>60</v>
      </c>
      <c r="B53" s="8">
        <v>128</v>
      </c>
      <c r="C53" s="8"/>
      <c r="D53" s="8">
        <v>128</v>
      </c>
      <c r="E53" s="9" t="str">
        <f t="shared" si="3"/>
        <v>pagato</v>
      </c>
      <c r="F53" s="20">
        <f t="shared" si="2"/>
        <v>128</v>
      </c>
    </row>
    <row r="54" spans="1:6" ht="15" customHeight="1" x14ac:dyDescent="0.25">
      <c r="A54" t="s">
        <v>61</v>
      </c>
      <c r="B54" s="8">
        <v>551</v>
      </c>
      <c r="C54" s="8"/>
      <c r="D54" s="8">
        <v>551</v>
      </c>
      <c r="E54" s="9" t="str">
        <f t="shared" si="3"/>
        <v>pagato</v>
      </c>
      <c r="F54" s="20">
        <f t="shared" si="2"/>
        <v>551</v>
      </c>
    </row>
    <row r="55" spans="1:6" ht="15" customHeight="1" x14ac:dyDescent="0.25">
      <c r="A55" t="s">
        <v>62</v>
      </c>
      <c r="B55" s="8">
        <v>3000</v>
      </c>
      <c r="C55" s="8">
        <v>3000</v>
      </c>
      <c r="D55" s="8"/>
      <c r="E55" s="9" t="str">
        <f t="shared" si="3"/>
        <v>pagato</v>
      </c>
      <c r="F55" s="20">
        <f t="shared" si="2"/>
        <v>3000</v>
      </c>
    </row>
    <row r="56" spans="1:6" ht="15" customHeight="1" x14ac:dyDescent="0.25">
      <c r="A56" t="s">
        <v>63</v>
      </c>
      <c r="B56" s="8">
        <v>1040</v>
      </c>
      <c r="C56" s="8">
        <v>1040</v>
      </c>
      <c r="D56" s="8"/>
      <c r="E56" s="9" t="str">
        <f t="shared" si="3"/>
        <v>pagato</v>
      </c>
      <c r="F56" s="20">
        <f t="shared" si="2"/>
        <v>1040</v>
      </c>
    </row>
    <row r="57" spans="1:6" ht="15" customHeight="1" x14ac:dyDescent="0.25">
      <c r="A57" t="s">
        <v>64</v>
      </c>
      <c r="B57" s="8">
        <v>3600</v>
      </c>
      <c r="C57" s="8">
        <v>3600</v>
      </c>
      <c r="D57" s="8"/>
      <c r="E57" s="9" t="str">
        <f t="shared" si="3"/>
        <v>pagato</v>
      </c>
      <c r="F57" s="20">
        <f t="shared" si="2"/>
        <v>3600</v>
      </c>
    </row>
    <row r="58" spans="1:6" ht="15" customHeight="1" x14ac:dyDescent="0.25">
      <c r="A58" t="s">
        <v>65</v>
      </c>
      <c r="B58" s="8">
        <v>3600</v>
      </c>
      <c r="C58" s="8">
        <v>3600</v>
      </c>
      <c r="D58" s="8"/>
      <c r="E58" s="9" t="str">
        <f t="shared" si="3"/>
        <v>pagato</v>
      </c>
      <c r="F58" s="20">
        <f t="shared" si="2"/>
        <v>3600</v>
      </c>
    </row>
    <row r="59" spans="1:6" ht="15" customHeight="1" x14ac:dyDescent="0.25">
      <c r="A59" t="s">
        <v>66</v>
      </c>
      <c r="B59" s="8">
        <v>3600</v>
      </c>
      <c r="C59" s="8">
        <v>3600</v>
      </c>
      <c r="D59" s="8"/>
      <c r="E59" s="9" t="str">
        <f t="shared" si="3"/>
        <v>pagato</v>
      </c>
      <c r="F59" s="20">
        <f t="shared" si="2"/>
        <v>3600</v>
      </c>
    </row>
    <row r="60" spans="1:6" ht="15" customHeight="1" x14ac:dyDescent="0.25">
      <c r="A60" t="s">
        <v>67</v>
      </c>
      <c r="B60" s="8">
        <v>3600</v>
      </c>
      <c r="C60" s="8">
        <v>3600</v>
      </c>
      <c r="D60" s="8"/>
      <c r="E60" s="9" t="str">
        <f t="shared" si="3"/>
        <v>pagato</v>
      </c>
      <c r="F60" s="20">
        <f t="shared" si="2"/>
        <v>3600</v>
      </c>
    </row>
    <row r="61" spans="1:6" ht="15" customHeight="1" x14ac:dyDescent="0.25">
      <c r="A61" t="s">
        <v>68</v>
      </c>
      <c r="B61" s="8">
        <v>3600</v>
      </c>
      <c r="C61" s="8">
        <v>3600</v>
      </c>
      <c r="D61" s="8"/>
      <c r="E61" s="9" t="str">
        <f t="shared" si="3"/>
        <v>pagato</v>
      </c>
      <c r="F61" s="20">
        <f t="shared" si="2"/>
        <v>3600</v>
      </c>
    </row>
    <row r="62" spans="1:6" ht="15" customHeight="1" x14ac:dyDescent="0.25">
      <c r="A62" t="s">
        <v>69</v>
      </c>
      <c r="B62" s="8">
        <v>0</v>
      </c>
      <c r="C62" s="8">
        <v>-750</v>
      </c>
      <c r="D62" s="8">
        <v>750</v>
      </c>
      <c r="E62" s="9" t="str">
        <f t="shared" si="3"/>
        <v/>
      </c>
      <c r="F62" s="20">
        <f t="shared" si="2"/>
        <v>0</v>
      </c>
    </row>
    <row r="63" spans="1:6" ht="15" customHeight="1" x14ac:dyDescent="0.25">
      <c r="A63" t="s">
        <v>70</v>
      </c>
      <c r="B63" s="8">
        <v>287.62</v>
      </c>
      <c r="C63" s="8"/>
      <c r="D63" s="8">
        <v>287.62</v>
      </c>
      <c r="E63" s="9" t="str">
        <f t="shared" si="3"/>
        <v>pagato</v>
      </c>
      <c r="F63" s="20">
        <f t="shared" si="2"/>
        <v>287.62</v>
      </c>
    </row>
    <row r="64" spans="1:6" ht="15" customHeight="1" x14ac:dyDescent="0.25">
      <c r="A64" t="s">
        <v>71</v>
      </c>
      <c r="B64" s="8">
        <v>70</v>
      </c>
      <c r="C64" s="8"/>
      <c r="D64" s="8">
        <v>70</v>
      </c>
      <c r="E64" s="9" t="str">
        <f t="shared" si="3"/>
        <v>pagato</v>
      </c>
      <c r="F64" s="20">
        <f t="shared" si="2"/>
        <v>70</v>
      </c>
    </row>
    <row r="65" spans="1:6" ht="15" customHeight="1" x14ac:dyDescent="0.25">
      <c r="A65" t="s">
        <v>72</v>
      </c>
      <c r="B65" s="8">
        <v>52.13</v>
      </c>
      <c r="C65" s="8"/>
      <c r="D65" s="8">
        <v>52.13</v>
      </c>
      <c r="E65" s="9" t="str">
        <f t="shared" si="3"/>
        <v>pagato</v>
      </c>
      <c r="F65" s="20">
        <f t="shared" si="2"/>
        <v>52.13</v>
      </c>
    </row>
    <row r="66" spans="1:6" ht="15" customHeight="1" x14ac:dyDescent="0.25">
      <c r="A66" t="s">
        <v>73</v>
      </c>
      <c r="B66" s="8">
        <v>38</v>
      </c>
      <c r="C66" s="8"/>
      <c r="D66" s="8">
        <v>38</v>
      </c>
      <c r="E66" s="9" t="str">
        <f t="shared" si="3"/>
        <v>pagato</v>
      </c>
      <c r="F66" s="20">
        <f t="shared" si="2"/>
        <v>38</v>
      </c>
    </row>
    <row r="67" spans="1:6" ht="15" customHeight="1" x14ac:dyDescent="0.25">
      <c r="A67" t="s">
        <v>74</v>
      </c>
      <c r="B67" s="8">
        <v>160</v>
      </c>
      <c r="C67" s="8"/>
      <c r="D67" s="8">
        <v>160</v>
      </c>
      <c r="E67" s="9" t="str">
        <f t="shared" si="3"/>
        <v>pagato</v>
      </c>
      <c r="F67" s="20">
        <f t="shared" si="2"/>
        <v>160</v>
      </c>
    </row>
    <row r="68" spans="1:6" ht="15" customHeight="1" x14ac:dyDescent="0.25">
      <c r="A68" t="s">
        <v>75</v>
      </c>
      <c r="B68" s="8">
        <v>322</v>
      </c>
      <c r="C68" s="8"/>
      <c r="D68" s="8">
        <v>322</v>
      </c>
      <c r="E68" s="9" t="str">
        <f t="shared" si="3"/>
        <v>pagato</v>
      </c>
      <c r="F68" s="20">
        <f t="shared" si="2"/>
        <v>322</v>
      </c>
    </row>
    <row r="69" spans="1:6" ht="15" customHeight="1" x14ac:dyDescent="0.25">
      <c r="A69" t="s">
        <v>76</v>
      </c>
      <c r="B69" s="8">
        <v>590</v>
      </c>
      <c r="C69" s="8"/>
      <c r="D69" s="8">
        <v>590</v>
      </c>
      <c r="E69" s="9" t="str">
        <f t="shared" si="3"/>
        <v>pagato</v>
      </c>
      <c r="F69" s="20">
        <f t="shared" ref="F69:F100" si="4">C69+D69</f>
        <v>590</v>
      </c>
    </row>
    <row r="70" spans="1:6" ht="15" customHeight="1" x14ac:dyDescent="0.25">
      <c r="A70" t="s">
        <v>77</v>
      </c>
      <c r="B70" s="8">
        <v>450</v>
      </c>
      <c r="C70" s="8"/>
      <c r="D70" s="8">
        <v>450</v>
      </c>
      <c r="E70" s="9" t="str">
        <f t="shared" ref="E70:E101" si="5">IF(OR(ISBLANK(F70), F70=0), "", IF(F70&lt;B70, "parziale", "pagato"))</f>
        <v>pagato</v>
      </c>
      <c r="F70" s="20">
        <f t="shared" si="4"/>
        <v>450</v>
      </c>
    </row>
    <row r="71" spans="1:6" ht="15" customHeight="1" x14ac:dyDescent="0.25">
      <c r="A71" t="s">
        <v>78</v>
      </c>
      <c r="B71" s="8">
        <v>61</v>
      </c>
      <c r="C71" s="8"/>
      <c r="D71" s="8">
        <v>61</v>
      </c>
      <c r="E71" s="9" t="str">
        <f t="shared" si="5"/>
        <v>pagato</v>
      </c>
      <c r="F71" s="20">
        <f t="shared" si="4"/>
        <v>61</v>
      </c>
    </row>
    <row r="72" spans="1:6" ht="15" customHeight="1" x14ac:dyDescent="0.25">
      <c r="A72" t="s">
        <v>79</v>
      </c>
      <c r="B72" s="8">
        <v>590</v>
      </c>
      <c r="C72" s="8"/>
      <c r="D72" s="8">
        <v>590</v>
      </c>
      <c r="E72" s="9" t="str">
        <f t="shared" si="5"/>
        <v>pagato</v>
      </c>
      <c r="F72" s="20">
        <f t="shared" si="4"/>
        <v>590</v>
      </c>
    </row>
    <row r="73" spans="1:6" ht="15" customHeight="1" x14ac:dyDescent="0.25">
      <c r="B73" s="8"/>
      <c r="C73" s="8"/>
      <c r="D73" s="8"/>
      <c r="E73" s="9" t="str">
        <f t="shared" si="5"/>
        <v/>
      </c>
      <c r="F73" s="20">
        <f t="shared" si="4"/>
        <v>0</v>
      </c>
    </row>
    <row r="74" spans="1:6" ht="15" customHeight="1" x14ac:dyDescent="0.25">
      <c r="B74" s="8"/>
      <c r="C74" s="8"/>
      <c r="D74" s="8"/>
      <c r="E74" s="9" t="str">
        <f t="shared" si="5"/>
        <v/>
      </c>
      <c r="F74" s="20">
        <f t="shared" si="4"/>
        <v>0</v>
      </c>
    </row>
    <row r="75" spans="1:6" ht="15" customHeight="1" x14ac:dyDescent="0.25">
      <c r="B75" s="8"/>
      <c r="C75" s="8"/>
      <c r="D75" s="8"/>
      <c r="E75" s="9" t="str">
        <f t="shared" si="5"/>
        <v/>
      </c>
      <c r="F75" s="20">
        <f t="shared" si="4"/>
        <v>0</v>
      </c>
    </row>
    <row r="76" spans="1:6" ht="15" customHeight="1" x14ac:dyDescent="0.25">
      <c r="B76" s="8"/>
      <c r="C76" s="8"/>
      <c r="D76" s="8"/>
      <c r="E76" s="9" t="str">
        <f t="shared" si="5"/>
        <v/>
      </c>
      <c r="F76" s="20">
        <f t="shared" si="4"/>
        <v>0</v>
      </c>
    </row>
    <row r="77" spans="1:6" ht="15" customHeight="1" x14ac:dyDescent="0.25">
      <c r="B77" s="8"/>
      <c r="C77" s="8"/>
      <c r="D77" s="8"/>
      <c r="E77" s="9" t="str">
        <f t="shared" si="5"/>
        <v/>
      </c>
      <c r="F77" s="20">
        <f t="shared" si="4"/>
        <v>0</v>
      </c>
    </row>
    <row r="78" spans="1:6" ht="15" customHeight="1" x14ac:dyDescent="0.25">
      <c r="B78" s="8"/>
      <c r="C78" s="8"/>
      <c r="D78" s="8"/>
      <c r="E78" s="9" t="str">
        <f t="shared" si="5"/>
        <v/>
      </c>
      <c r="F78" s="20">
        <f t="shared" si="4"/>
        <v>0</v>
      </c>
    </row>
    <row r="79" spans="1:6" ht="15" customHeight="1" x14ac:dyDescent="0.25">
      <c r="B79" s="8"/>
      <c r="C79" s="8"/>
      <c r="D79" s="8"/>
      <c r="E79" s="9" t="str">
        <f t="shared" si="5"/>
        <v/>
      </c>
      <c r="F79" s="20">
        <f t="shared" si="4"/>
        <v>0</v>
      </c>
    </row>
    <row r="80" spans="1:6" ht="15" customHeight="1" x14ac:dyDescent="0.25">
      <c r="B80" s="8"/>
      <c r="C80" s="8"/>
      <c r="D80" s="8"/>
      <c r="E80" s="9" t="str">
        <f t="shared" si="5"/>
        <v/>
      </c>
      <c r="F80" s="20">
        <f t="shared" si="4"/>
        <v>0</v>
      </c>
    </row>
    <row r="81" spans="2:6" ht="15" customHeight="1" x14ac:dyDescent="0.25">
      <c r="B81" s="8"/>
      <c r="C81" s="8"/>
      <c r="D81" s="8"/>
      <c r="E81" s="9" t="str">
        <f t="shared" si="5"/>
        <v/>
      </c>
      <c r="F81" s="20">
        <f t="shared" si="4"/>
        <v>0</v>
      </c>
    </row>
    <row r="82" spans="2:6" ht="15" customHeight="1" x14ac:dyDescent="0.25">
      <c r="B82" s="8"/>
      <c r="C82" s="8"/>
      <c r="D82" s="8"/>
      <c r="E82" s="9" t="str">
        <f t="shared" si="5"/>
        <v/>
      </c>
      <c r="F82" s="20">
        <f t="shared" si="4"/>
        <v>0</v>
      </c>
    </row>
    <row r="83" spans="2:6" ht="15" customHeight="1" x14ac:dyDescent="0.25">
      <c r="B83" s="8"/>
      <c r="C83" s="8"/>
      <c r="D83" s="8"/>
      <c r="E83" s="9" t="str">
        <f t="shared" si="5"/>
        <v/>
      </c>
      <c r="F83" s="20">
        <f t="shared" si="4"/>
        <v>0</v>
      </c>
    </row>
    <row r="84" spans="2:6" ht="15" customHeight="1" x14ac:dyDescent="0.25">
      <c r="B84" s="8"/>
      <c r="C84" s="8"/>
      <c r="D84" s="8"/>
      <c r="E84" s="9" t="str">
        <f t="shared" si="5"/>
        <v/>
      </c>
      <c r="F84" s="20">
        <f t="shared" si="4"/>
        <v>0</v>
      </c>
    </row>
    <row r="85" spans="2:6" ht="15" customHeight="1" x14ac:dyDescent="0.25">
      <c r="B85" s="8"/>
      <c r="C85" s="8"/>
      <c r="D85" s="8"/>
      <c r="E85" s="9" t="str">
        <f t="shared" si="5"/>
        <v/>
      </c>
      <c r="F85" s="20">
        <f t="shared" si="4"/>
        <v>0</v>
      </c>
    </row>
    <row r="86" spans="2:6" ht="15" customHeight="1" x14ac:dyDescent="0.25">
      <c r="B86" s="8"/>
      <c r="C86" s="8"/>
      <c r="D86" s="8"/>
      <c r="E86" s="9" t="str">
        <f t="shared" si="5"/>
        <v/>
      </c>
      <c r="F86" s="20">
        <f t="shared" si="4"/>
        <v>0</v>
      </c>
    </row>
    <row r="87" spans="2:6" ht="15" customHeight="1" x14ac:dyDescent="0.25">
      <c r="B87" s="8"/>
      <c r="C87" s="8"/>
      <c r="D87" s="8"/>
      <c r="E87" s="9" t="str">
        <f t="shared" si="5"/>
        <v/>
      </c>
      <c r="F87" s="20">
        <f t="shared" si="4"/>
        <v>0</v>
      </c>
    </row>
    <row r="88" spans="2:6" ht="15" customHeight="1" x14ac:dyDescent="0.25">
      <c r="B88" s="8"/>
      <c r="C88" s="8"/>
      <c r="D88" s="8"/>
      <c r="E88" s="9" t="str">
        <f t="shared" si="5"/>
        <v/>
      </c>
      <c r="F88" s="20">
        <f t="shared" si="4"/>
        <v>0</v>
      </c>
    </row>
    <row r="89" spans="2:6" ht="15" customHeight="1" x14ac:dyDescent="0.25">
      <c r="B89" s="8"/>
      <c r="C89" s="8"/>
      <c r="D89" s="8"/>
      <c r="E89" s="9" t="str">
        <f t="shared" si="5"/>
        <v/>
      </c>
      <c r="F89" s="20">
        <f t="shared" si="4"/>
        <v>0</v>
      </c>
    </row>
    <row r="90" spans="2:6" ht="15" customHeight="1" x14ac:dyDescent="0.25">
      <c r="B90" s="8"/>
      <c r="C90" s="8"/>
      <c r="D90" s="8"/>
      <c r="E90" s="9" t="str">
        <f t="shared" si="5"/>
        <v/>
      </c>
      <c r="F90" s="20">
        <f t="shared" si="4"/>
        <v>0</v>
      </c>
    </row>
    <row r="91" spans="2:6" ht="15" customHeight="1" x14ac:dyDescent="0.25">
      <c r="B91" s="8"/>
      <c r="C91" s="8"/>
      <c r="D91" s="8"/>
      <c r="E91" s="9" t="str">
        <f t="shared" si="5"/>
        <v/>
      </c>
      <c r="F91" s="20">
        <f t="shared" si="4"/>
        <v>0</v>
      </c>
    </row>
    <row r="92" spans="2:6" ht="15" customHeight="1" x14ac:dyDescent="0.25">
      <c r="B92" s="8"/>
      <c r="C92" s="8"/>
      <c r="D92" s="8"/>
      <c r="E92" s="9" t="str">
        <f t="shared" si="5"/>
        <v/>
      </c>
      <c r="F92" s="20">
        <f t="shared" si="4"/>
        <v>0</v>
      </c>
    </row>
    <row r="93" spans="2:6" ht="15" customHeight="1" x14ac:dyDescent="0.25">
      <c r="B93" s="8"/>
      <c r="C93" s="8"/>
      <c r="D93" s="8"/>
      <c r="E93" s="9" t="str">
        <f t="shared" si="5"/>
        <v/>
      </c>
      <c r="F93" s="20">
        <f t="shared" si="4"/>
        <v>0</v>
      </c>
    </row>
    <row r="94" spans="2:6" ht="15" customHeight="1" x14ac:dyDescent="0.25">
      <c r="B94" s="8"/>
      <c r="C94" s="8"/>
      <c r="D94" s="8"/>
      <c r="E94" s="9" t="str">
        <f t="shared" si="5"/>
        <v/>
      </c>
      <c r="F94" s="20">
        <f t="shared" si="4"/>
        <v>0</v>
      </c>
    </row>
    <row r="95" spans="2:6" ht="15" customHeight="1" x14ac:dyDescent="0.25">
      <c r="B95" s="8"/>
      <c r="C95" s="8"/>
      <c r="D95" s="8"/>
      <c r="E95" s="9" t="str">
        <f t="shared" si="5"/>
        <v/>
      </c>
      <c r="F95" s="20">
        <f t="shared" si="4"/>
        <v>0</v>
      </c>
    </row>
    <row r="96" spans="2:6" ht="15" customHeight="1" x14ac:dyDescent="0.25">
      <c r="B96" s="8"/>
      <c r="C96" s="8"/>
      <c r="D96" s="8"/>
      <c r="E96" s="9" t="str">
        <f t="shared" si="5"/>
        <v/>
      </c>
      <c r="F96" s="20">
        <f t="shared" si="4"/>
        <v>0</v>
      </c>
    </row>
    <row r="97" spans="1:7" ht="15" customHeight="1" x14ac:dyDescent="0.25">
      <c r="B97" s="8"/>
      <c r="C97" s="8"/>
      <c r="D97" s="8"/>
      <c r="E97" s="9" t="str">
        <f t="shared" si="5"/>
        <v/>
      </c>
      <c r="F97" s="20">
        <f t="shared" si="4"/>
        <v>0</v>
      </c>
    </row>
    <row r="98" spans="1:7" ht="15" customHeight="1" x14ac:dyDescent="0.25">
      <c r="B98" s="8"/>
      <c r="C98" s="8"/>
      <c r="D98" s="8"/>
      <c r="E98" s="9" t="str">
        <f t="shared" si="5"/>
        <v/>
      </c>
      <c r="F98" s="20">
        <f t="shared" si="4"/>
        <v>0</v>
      </c>
    </row>
    <row r="99" spans="1:7" ht="15" customHeight="1" x14ac:dyDescent="0.25">
      <c r="B99" s="8"/>
      <c r="C99" s="8"/>
      <c r="D99" s="8"/>
      <c r="E99" s="9" t="str">
        <f t="shared" si="5"/>
        <v/>
      </c>
      <c r="F99" s="20">
        <f t="shared" si="4"/>
        <v>0</v>
      </c>
    </row>
    <row r="100" spans="1:7" ht="15.75" customHeight="1" x14ac:dyDescent="0.25">
      <c r="B100" s="8"/>
      <c r="C100" s="8"/>
      <c r="D100" s="8"/>
      <c r="E100" s="9" t="str">
        <f t="shared" si="5"/>
        <v/>
      </c>
      <c r="F100" s="20">
        <f t="shared" si="4"/>
        <v>0</v>
      </c>
    </row>
    <row r="101" spans="1:7" ht="15.75" customHeight="1" x14ac:dyDescent="0.25">
      <c r="A101" s="23" t="s">
        <v>80</v>
      </c>
      <c r="B101" s="24"/>
      <c r="C101" s="18"/>
      <c r="D101" s="23"/>
      <c r="E101" s="24"/>
      <c r="F101" s="21">
        <f>SUM(F5:F100)</f>
        <v>70289.070000000007</v>
      </c>
      <c r="G101" s="2"/>
    </row>
  </sheetData>
  <mergeCells count="2">
    <mergeCell ref="A101:B101"/>
    <mergeCell ref="D101:E101"/>
  </mergeCells>
  <conditionalFormatting sqref="E4:E100 E102:E1048576">
    <cfRule type="containsText" dxfId="2" priority="2" operator="containsText" text="parziale">
      <formula>NOT(ISERROR(SEARCH("parziale",E4)))</formula>
    </cfRule>
    <cfRule type="containsText" dxfId="1" priority="3" operator="containsText" text="da pagare">
      <formula>NOT(ISERROR(SEARCH("da pagare",E4)))</formula>
    </cfRule>
    <cfRule type="containsText" dxfId="0" priority="4" operator="containsText" text="PAGATO">
      <formula>NOT(ISERROR(SEARCH("PAGATO",E4)))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MASALA</dc:creator>
  <cp:lastModifiedBy>ROBERTO MASALA</cp:lastModifiedBy>
  <cp:revision>0</cp:revision>
  <dcterms:created xsi:type="dcterms:W3CDTF">2015-06-05T18:17:20Z</dcterms:created>
  <dcterms:modified xsi:type="dcterms:W3CDTF">2026-09-05T04:31:33Z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ActionId">
    <vt:lpwstr>d8361024-fa9b-4550-a77b-22b5e0d5f4f2</vt:lpwstr>
  </property>
  <property fmtid="{D5CDD505-2E9C-101B-9397-08002B2CF9AE}" pid="3" name="MSIP_Label_b29603fb-7fab-4bf6-8ed3-004985bb9d91_ContentBits">
    <vt:lpwstr>0</vt:lpwstr>
  </property>
  <property fmtid="{D5CDD505-2E9C-101B-9397-08002B2CF9AE}" pid="4" name="MSIP_Label_b29603fb-7fab-4bf6-8ed3-004985bb9d91_Enabled">
    <vt:lpwstr>true</vt:lpwstr>
  </property>
  <property fmtid="{D5CDD505-2E9C-101B-9397-08002B2CF9AE}" pid="5" name="MSIP_Label_b29603fb-7fab-4bf6-8ed3-004985bb9d91_Method">
    <vt:lpwstr>Standard</vt:lpwstr>
  </property>
  <property fmtid="{D5CDD505-2E9C-101B-9397-08002B2CF9AE}" pid="6" name="MSIP_Label_b29603fb-7fab-4bf6-8ed3-004985bb9d91_Name">
    <vt:lpwstr>Anyone - No Protection</vt:lpwstr>
  </property>
  <property fmtid="{D5CDD505-2E9C-101B-9397-08002B2CF9AE}" pid="7" name="MSIP_Label_b29603fb-7fab-4bf6-8ed3-004985bb9d91_SetDate">
    <vt:lpwstr>2024-05-11T13:32:46Z</vt:lpwstr>
  </property>
  <property fmtid="{D5CDD505-2E9C-101B-9397-08002B2CF9AE}" pid="8" name="MSIP_Label_b29603fb-7fab-4bf6-8ed3-004985bb9d91_SiteId">
    <vt:lpwstr>9179d01a-e94c-4488-b5f0-4554bc474f8c</vt:lpwstr>
  </property>
</Properties>
</file>